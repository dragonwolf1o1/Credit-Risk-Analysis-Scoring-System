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Projects\Data Analyst Projects\Finance &amp; Banking Project\Credit Risk Analysis and Scoring System\"/>
    </mc:Choice>
  </mc:AlternateContent>
  <xr:revisionPtr revIDLastSave="0" documentId="13_ncr:1_{FB489CE2-A096-4CB1-8882-C1DCBBA7D2C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PivotTable" sheetId="2" r:id="rId2"/>
    <sheet name="Dashboard" sheetId="5" r:id="rId3"/>
  </sheets>
  <definedNames>
    <definedName name="ExternalData_1" localSheetId="0" hidden="1">Sheet1!$A$1:$Q$7</definedName>
  </definedNames>
  <calcPr calcId="191029"/>
  <pivotCaches>
    <pivotCache cacheId="0" r:id="rId4"/>
    <pivotCache cacheId="1" r:id="rId5"/>
  </pivotCaches>
</workbook>
</file>

<file path=xl/calcChain.xml><?xml version="1.0" encoding="utf-8"?>
<calcChain xmlns="http://schemas.openxmlformats.org/spreadsheetml/2006/main">
  <c r="L25" i="5" l="1"/>
  <c r="R2" i="1"/>
  <c r="S2" i="1" s="1"/>
  <c r="U2" i="1" s="1"/>
  <c r="R3" i="1"/>
  <c r="S3" i="1" s="1"/>
  <c r="U3" i="1" s="1"/>
  <c r="R4" i="1"/>
  <c r="S4" i="1" s="1"/>
  <c r="U4" i="1" s="1"/>
  <c r="R5" i="1"/>
  <c r="S5" i="1" s="1"/>
  <c r="U5" i="1" s="1"/>
  <c r="R6" i="1"/>
  <c r="S6" i="1" s="1"/>
  <c r="U6" i="1" s="1"/>
  <c r="R7" i="1"/>
  <c r="S7" i="1" s="1"/>
  <c r="U7" i="1" s="1"/>
  <c r="T3" i="1"/>
  <c r="X3" i="1" s="1"/>
  <c r="Y3" i="1" s="1"/>
  <c r="T4" i="1"/>
  <c r="X4" i="1" s="1"/>
  <c r="Y4" i="1" s="1"/>
  <c r="T5" i="1"/>
  <c r="X5" i="1" s="1"/>
  <c r="Y5" i="1" s="1"/>
  <c r="T6" i="1"/>
  <c r="X6" i="1" s="1"/>
  <c r="Y6" i="1" s="1"/>
  <c r="T7" i="1"/>
  <c r="X7" i="1" s="1"/>
  <c r="Y7" i="1" s="1"/>
  <c r="T2" i="1"/>
  <c r="X2" i="1" s="1"/>
  <c r="Y2" i="1" s="1"/>
  <c r="W3" i="1" l="1"/>
  <c r="W4" i="1"/>
  <c r="I25" i="5"/>
  <c r="V7" i="1"/>
  <c r="W5" i="1"/>
  <c r="W6" i="1"/>
  <c r="V4" i="1"/>
  <c r="V3" i="1"/>
  <c r="V5" i="1"/>
  <c r="V6" i="1"/>
  <c r="W7" i="1"/>
  <c r="W2" i="1"/>
  <c r="V2" i="1"/>
  <c r="C25" i="5" l="1"/>
  <c r="F2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5BB3BD-0AEE-48E6-B203-4C63B6242005}" keepAlive="1" name="Query - excel_credit_risk" description="Connection to the 'excel_credit_risk' query in the workbook." type="5" refreshedVersion="8" background="1" saveData="1">
    <dbPr connection="Provider=Microsoft.Mashup.OleDb.1;Data Source=$Workbook$;Location=excel_credit_risk;Extended Properties=&quot;&quot;" command="SELECT * FROM [excel_credit_risk]"/>
  </connection>
</connections>
</file>

<file path=xl/sharedStrings.xml><?xml version="1.0" encoding="utf-8"?>
<sst xmlns="http://schemas.openxmlformats.org/spreadsheetml/2006/main" count="96" uniqueCount="61">
  <si>
    <t>loan_id</t>
  </si>
  <si>
    <t>customer_id</t>
  </si>
  <si>
    <t>full_name</t>
  </si>
  <si>
    <t>gender</t>
  </si>
  <si>
    <t>marital_status</t>
  </si>
  <si>
    <t>employment_status</t>
  </si>
  <si>
    <t>annual_income</t>
  </si>
  <si>
    <t>city</t>
  </si>
  <si>
    <t>state</t>
  </si>
  <si>
    <t>loan_amount</t>
  </si>
  <si>
    <t>intrest_rate</t>
  </si>
  <si>
    <t>loan_terms_month</t>
  </si>
  <si>
    <t>loan_type</t>
  </si>
  <si>
    <t>colletral_type</t>
  </si>
  <si>
    <t>prob_default</t>
  </si>
  <si>
    <t>risk_band</t>
  </si>
  <si>
    <t>prediction_date</t>
  </si>
  <si>
    <t>Rohan Sharma</t>
  </si>
  <si>
    <t>Male</t>
  </si>
  <si>
    <t>Single</t>
  </si>
  <si>
    <t>Employed</t>
  </si>
  <si>
    <t>Mumbai</t>
  </si>
  <si>
    <t>Maharashtra</t>
  </si>
  <si>
    <t>Personal</t>
  </si>
  <si>
    <t>None</t>
  </si>
  <si>
    <t>High</t>
  </si>
  <si>
    <t>Very High</t>
  </si>
  <si>
    <t>Priya Verma</t>
  </si>
  <si>
    <t>Female</t>
  </si>
  <si>
    <t>Married</t>
  </si>
  <si>
    <t>Business</t>
  </si>
  <si>
    <t>Delhi</t>
  </si>
  <si>
    <t>Home</t>
  </si>
  <si>
    <t>House</t>
  </si>
  <si>
    <t>Low</t>
  </si>
  <si>
    <t>Amit Singh</t>
  </si>
  <si>
    <t>Unemployed</t>
  </si>
  <si>
    <t>Lucknow</t>
  </si>
  <si>
    <t>Uttar Pradesh</t>
  </si>
  <si>
    <t>Rahul Verma</t>
  </si>
  <si>
    <t>Pune</t>
  </si>
  <si>
    <t>Neha Shah</t>
  </si>
  <si>
    <t>Ahmedabad</t>
  </si>
  <si>
    <t>Gujarat</t>
  </si>
  <si>
    <t>Property</t>
  </si>
  <si>
    <t>Base EMI</t>
  </si>
  <si>
    <t>Scenario EMI</t>
  </si>
  <si>
    <t>EMI Difference</t>
  </si>
  <si>
    <t>Interest Rate Change (%)</t>
  </si>
  <si>
    <t>Scenario Interest Rate (%)</t>
  </si>
  <si>
    <t>Change in Total Interest</t>
  </si>
  <si>
    <t>Grand Total</t>
  </si>
  <si>
    <t>Risk EMI Impact</t>
  </si>
  <si>
    <t>Risk Parameter</t>
  </si>
  <si>
    <t>Sum of Change in Total Interest</t>
  </si>
  <si>
    <t>Loan Type</t>
  </si>
  <si>
    <t>EMI to Income (%)</t>
  </si>
  <si>
    <t>Stress Flag</t>
  </si>
  <si>
    <t>Caution</t>
  </si>
  <si>
    <t>Normal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</si>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</sst>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8" fontId="0" fillId="0" borderId="0" xfId="0" applyNumberFormat="1"/>
    <xf numFmtId="2" fontId="0" fillId="0" borderId="0" xfId="0" applyNumberFormat="1"/>
    <xf numFmtId="2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0" fontId="0" fillId="0" borderId="0" xfId="1" applyNumberFormat="1" applyFont="1" applyAlignment="1">
      <alignment horizontal="center" vertical="center"/>
    </xf>
    <xf numFmtId="0" fontId="0" fillId="3" borderId="0" xfId="0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4" borderId="0" xfId="0" applyFill="1"/>
    <xf numFmtId="0" fontId="0" fillId="5" borderId="4" xfId="0" applyFill="1" applyBorder="1"/>
    <xf numFmtId="0" fontId="0" fillId="5" borderId="2" xfId="0" applyFill="1" applyBorder="1"/>
    <xf numFmtId="0" fontId="0" fillId="5" borderId="5" xfId="0" applyFill="1" applyBorder="1"/>
    <xf numFmtId="0" fontId="0" fillId="5" borderId="8" xfId="0" applyFill="1" applyBorder="1"/>
    <xf numFmtId="0" fontId="0" fillId="5" borderId="0" xfId="0" applyFill="1"/>
    <xf numFmtId="0" fontId="0" fillId="5" borderId="9" xfId="0" applyFill="1" applyBorder="1"/>
    <xf numFmtId="0" fontId="0" fillId="5" borderId="6" xfId="0" applyFill="1" applyBorder="1"/>
    <xf numFmtId="0" fontId="0" fillId="5" borderId="3" xfId="0" applyFill="1" applyBorder="1"/>
    <xf numFmtId="0" fontId="0" fillId="5" borderId="7" xfId="0" applyFill="1" applyBorder="1"/>
    <xf numFmtId="9" fontId="0" fillId="3" borderId="10" xfId="1" applyFont="1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6" xfId="0" applyFill="1" applyBorder="1"/>
    <xf numFmtId="0" fontId="0" fillId="4" borderId="3" xfId="0" applyFill="1" applyBorder="1"/>
    <xf numFmtId="0" fontId="0" fillId="4" borderId="7" xfId="0" applyFill="1" applyBorder="1"/>
    <xf numFmtId="0" fontId="0" fillId="3" borderId="2" xfId="0" applyFill="1" applyBorder="1"/>
    <xf numFmtId="0" fontId="3" fillId="4" borderId="0" xfId="0" applyFont="1" applyFill="1" applyAlignment="1">
      <alignment horizontal="center" vertical="center"/>
    </xf>
    <xf numFmtId="9" fontId="3" fillId="4" borderId="0" xfId="1" applyFont="1" applyFill="1" applyBorder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2">
    <cellStyle name="Normal" xfId="0" builtinId="0"/>
    <cellStyle name="Percent" xfId="1" builtinId="5"/>
  </cellStyles>
  <dxfs count="31"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2" formatCode="&quot;$&quot;#,##0.00_);[Red]\(&quot;$&quot;#,##0.00\)"/>
      <alignment horizontal="center" vertical="center" textRotation="0" wrapText="0" indent="0" justifyLastLine="0" shrinkToFit="0" readingOrder="0"/>
    </dxf>
    <dxf>
      <numFmt numFmtId="12" formatCode="&quot;$&quot;#,##0.00_);[Red]\(&quot;$&quot;#,##0.00\)"/>
      <alignment horizontal="center" vertical="center" textRotation="0" wrapText="0" indent="0" justifyLastLine="0" shrinkToFit="0" readingOrder="0"/>
    </dxf>
    <dxf>
      <numFmt numFmtId="12" formatCode="&quot;$&quot;#,##0.00_);[Red]\(&quot;$&quot;#,##0.00\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numFmt numFmtId="2" formatCode="0.00"/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7" formatCode="m/d/yyyy\ h:mm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[excel_credit_risk.xlsx]PivotTable!PivotTable1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</a:t>
            </a:r>
            <a:r>
              <a:rPr lang="en-US" baseline="0"/>
              <a:t> Band vs EMI Change</a:t>
            </a:r>
            <a:endParaRPr lang="en-US"/>
          </a:p>
        </c:rich>
      </c:tx>
      <c:layout>
        <c:manualLayout>
          <c:xMode val="edge"/>
          <c:yMode val="edge"/>
          <c:x val="0.30592344706911634"/>
          <c:y val="3.6016331291921846E-2"/>
        </c:manualLayout>
      </c:layout>
      <c:overlay val="0"/>
      <c:spPr>
        <a:solidFill>
          <a:schemeClr val="accent6">
            <a:lumMod val="75000"/>
          </a:schemeClr>
        </a:solidFill>
        <a:ln>
          <a:solidFill>
            <a:schemeClr val="accent6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>
              <a:lumMod val="75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5"/>
        <c:spPr>
          <a:solidFill>
            <a:schemeClr val="accent6">
              <a:lumMod val="75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lumMod val="75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solidFill>
              <a:schemeClr val="accent6">
                <a:lumMod val="50000"/>
              </a:schemeClr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24-4503-87A2-00F594C6AB0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24-4503-87A2-00F594C6AB00}"/>
              </c:ext>
            </c:extLst>
          </c:dPt>
          <c:cat>
            <c:strRef>
              <c:f>PivotTable!$A$4:$A$7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Very High</c:v>
                </c:pt>
              </c:strCache>
            </c:strRef>
          </c:cat>
          <c:val>
            <c:numRef>
              <c:f>PivotTable!$B$4:$B$7</c:f>
              <c:numCache>
                <c:formatCode>"$"#,##0.00_);[Red]\("$"#,##0.00\)</c:formatCode>
                <c:ptCount val="3"/>
                <c:pt idx="0">
                  <c:v>72.25594957613157</c:v>
                </c:pt>
                <c:pt idx="1">
                  <c:v>300.59660740162508</c:v>
                </c:pt>
                <c:pt idx="2">
                  <c:v>26.493180519796322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24-4503-87A2-00F594C6A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99756352"/>
        <c:axId val="1199756832"/>
      </c:barChart>
      <c:catAx>
        <c:axId val="11997563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6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756832"/>
        <c:crosses val="autoZero"/>
        <c:auto val="1"/>
        <c:lblAlgn val="ctr"/>
        <c:lblOffset val="100"/>
        <c:noMultiLvlLbl val="0"/>
      </c:catAx>
      <c:valAx>
        <c:axId val="1199756832"/>
        <c:scaling>
          <c:orientation val="minMax"/>
        </c:scaling>
        <c:delete val="0"/>
        <c:axPos val="b"/>
        <c:numFmt formatCode="&quot;$&quot;#,##0.00_);[Red]\(&quot;$&quot;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7563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solidFill>
            <a:schemeClr val="accent6">
              <a:lumMod val="60000"/>
              <a:lumOff val="4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[excel_credit_risk.xlsx]PivotTable!PivotTable2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Intrest</a:t>
            </a:r>
            <a:r>
              <a:rPr lang="en-US" baseline="0"/>
              <a:t> Impact by Loan Type</a:t>
            </a:r>
            <a:endParaRPr lang="en-US"/>
          </a:p>
        </c:rich>
      </c:tx>
      <c:overlay val="0"/>
      <c:spPr>
        <a:solidFill>
          <a:schemeClr val="accent6">
            <a:lumMod val="75000"/>
          </a:schemeClr>
        </a:solidFill>
        <a:ln>
          <a:solidFill>
            <a:schemeClr val="accent6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PivotTable!$D$4:$D$7</c:f>
              <c:strCache>
                <c:ptCount val="3"/>
                <c:pt idx="0">
                  <c:v>Business</c:v>
                </c:pt>
                <c:pt idx="1">
                  <c:v>Home</c:v>
                </c:pt>
                <c:pt idx="2">
                  <c:v>Personal</c:v>
                </c:pt>
              </c:strCache>
            </c:strRef>
          </c:cat>
          <c:val>
            <c:numRef>
              <c:f>PivotTable!$E$4:$E$7</c:f>
              <c:numCache>
                <c:formatCode>0.00</c:formatCode>
                <c:ptCount val="3"/>
                <c:pt idx="0">
                  <c:v>3673.1318818741711</c:v>
                </c:pt>
                <c:pt idx="1">
                  <c:v>72143.185776390135</c:v>
                </c:pt>
                <c:pt idx="2">
                  <c:v>3436.8054850327026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7-49E2-A471-F16CAF339B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87357040"/>
        <c:axId val="787357520"/>
      </c:barChart>
      <c:catAx>
        <c:axId val="7873570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6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357520"/>
        <c:crosses val="autoZero"/>
        <c:auto val="1"/>
        <c:lblAlgn val="ctr"/>
        <c:lblOffset val="100"/>
        <c:noMultiLvlLbl val="0"/>
      </c:catAx>
      <c:valAx>
        <c:axId val="787357520"/>
        <c:scaling>
          <c:orientation val="minMax"/>
        </c:scaling>
        <c:delete val="0"/>
        <c:axPos val="b"/>
        <c:numFmt formatCode="0;[Red]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35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40000"/>
        <a:lumOff val="60000"/>
      </a:schemeClr>
    </a:solidFill>
    <a:ln w="9525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[excel_credit_risk.xlsx]PivotTable!PivotTable5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solidFill>
          <a:schemeClr val="accent6">
            <a:lumMod val="75000"/>
          </a:schemeClr>
        </a:solidFill>
        <a:ln>
          <a:solidFill>
            <a:schemeClr val="accent6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92D050"/>
          </a:solidFill>
          <a:ln w="19050">
            <a:solidFill>
              <a:schemeClr val="accent6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6">
              <a:lumMod val="75000"/>
            </a:schemeClr>
          </a:solidFill>
          <a:ln w="19050">
            <a:solidFill>
              <a:schemeClr val="accent6">
                <a:lumMod val="50000"/>
              </a:schemeClr>
            </a:solidFill>
          </a:ln>
          <a:effectLst/>
        </c:spPr>
      </c:pivotFmt>
      <c:pivotFmt>
        <c:idx val="6"/>
        <c:spPr>
          <a:solidFill>
            <a:srgbClr val="92D050"/>
          </a:solidFill>
          <a:ln w="19050">
            <a:solidFill>
              <a:schemeClr val="accent6">
                <a:lumMod val="50000"/>
              </a:schemeClr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chemeClr val="accent6">
                  <a:lumMod val="50000"/>
                </a:schemeClr>
              </a:solidFill>
            </a:ln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accent6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22-4E92-A6FB-45705143C93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accent6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22-4E92-A6FB-45705143C93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PivotTable!$G$4:$G$6</c:f>
              <c:strCache>
                <c:ptCount val="2"/>
                <c:pt idx="0">
                  <c:v>Caution</c:v>
                </c:pt>
                <c:pt idx="1">
                  <c:v>Normal</c:v>
                </c:pt>
              </c:strCache>
            </c:strRef>
          </c:cat>
          <c:val>
            <c:numRef>
              <c:f>PivotTable!$H$4:$H$6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22-4E92-A6FB-45705143C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7620</xdr:rowOff>
    </xdr:from>
    <xdr:ext cx="2095500" cy="35052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7156B2-BA82-B0EB-1BEC-BF813DB1E16E}"/>
            </a:ext>
          </a:extLst>
        </xdr:cNvPr>
        <xdr:cNvSpPr txBox="1"/>
      </xdr:nvSpPr>
      <xdr:spPr>
        <a:xfrm>
          <a:off x="0" y="7620"/>
          <a:ext cx="2095500" cy="35052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400">
              <a:solidFill>
                <a:schemeClr val="accent6">
                  <a:lumMod val="50000"/>
                </a:schemeClr>
              </a:solidFill>
            </a:rPr>
            <a:t>Risk EMI Impact</a:t>
          </a:r>
        </a:p>
      </xdr:txBody>
    </xdr:sp>
    <xdr:clientData/>
  </xdr:oneCellAnchor>
  <xdr:oneCellAnchor>
    <xdr:from>
      <xdr:col>2</xdr:col>
      <xdr:colOff>601980</xdr:colOff>
      <xdr:row>0</xdr:row>
      <xdr:rowOff>15240</xdr:rowOff>
    </xdr:from>
    <xdr:ext cx="2743200" cy="35814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49952B4-882D-B1C6-29D9-1DBE8943D4DD}"/>
            </a:ext>
          </a:extLst>
        </xdr:cNvPr>
        <xdr:cNvSpPr txBox="1"/>
      </xdr:nvSpPr>
      <xdr:spPr>
        <a:xfrm>
          <a:off x="2689860" y="15240"/>
          <a:ext cx="2743200" cy="35814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400">
              <a:solidFill>
                <a:schemeClr val="accent6">
                  <a:lumMod val="50000"/>
                </a:schemeClr>
              </a:solidFill>
            </a:rPr>
            <a:t>Loan_Type Intrest Impact</a:t>
          </a:r>
        </a:p>
      </xdr:txBody>
    </xdr:sp>
    <xdr:clientData/>
  </xdr:oneCellAnchor>
  <xdr:oneCellAnchor>
    <xdr:from>
      <xdr:col>6</xdr:col>
      <xdr:colOff>7620</xdr:colOff>
      <xdr:row>0</xdr:row>
      <xdr:rowOff>15240</xdr:rowOff>
    </xdr:from>
    <xdr:ext cx="1828800" cy="35814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5B98D45-548B-6333-6193-047CE9B83F4C}"/>
            </a:ext>
          </a:extLst>
        </xdr:cNvPr>
        <xdr:cNvSpPr txBox="1"/>
      </xdr:nvSpPr>
      <xdr:spPr>
        <a:xfrm>
          <a:off x="6035040" y="15240"/>
          <a:ext cx="1828800" cy="3581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400">
              <a:solidFill>
                <a:schemeClr val="accent6">
                  <a:lumMod val="50000"/>
                </a:schemeClr>
              </a:solidFill>
            </a:rPr>
            <a:t>Stress Analysis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512023</xdr:colOff>
      <xdr:row>0</xdr:row>
      <xdr:rowOff>83635</xdr:rowOff>
    </xdr:from>
    <xdr:ext cx="9049593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E4154A0-B288-9B23-13BE-C371F33F5DF2}"/>
            </a:ext>
          </a:extLst>
        </xdr:cNvPr>
        <xdr:cNvSpPr/>
      </xdr:nvSpPr>
      <xdr:spPr>
        <a:xfrm>
          <a:off x="2950423" y="83635"/>
          <a:ext cx="9049593" cy="937629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50000"/>
            </a:schemeClr>
          </a:solidFill>
        </a:ln>
        <a:effectLst>
          <a:innerShdw blurRad="63500" dist="50800" dir="16200000">
            <a:prstClr val="black">
              <a:alpha val="50000"/>
            </a:prstClr>
          </a:innerShdw>
        </a:effectLst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u="sng" cap="none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Credit Risk Analysis Dashboard</a:t>
          </a:r>
          <a:endParaRPr lang="en-US" sz="5400" b="1" cap="none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oneCellAnchor>
  <xdr:twoCellAnchor>
    <xdr:from>
      <xdr:col>1</xdr:col>
      <xdr:colOff>7620</xdr:colOff>
      <xdr:row>9</xdr:row>
      <xdr:rowOff>60960</xdr:rowOff>
    </xdr:from>
    <xdr:to>
      <xdr:col>4</xdr:col>
      <xdr:colOff>556260</xdr:colOff>
      <xdr:row>11</xdr:row>
      <xdr:rowOff>121920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5632512-3772-01F1-5256-5DBBB58D3A57}"/>
            </a:ext>
          </a:extLst>
        </xdr:cNvPr>
        <xdr:cNvSpPr txBox="1"/>
      </xdr:nvSpPr>
      <xdr:spPr>
        <a:xfrm>
          <a:off x="617220" y="1706880"/>
          <a:ext cx="2377440" cy="42672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/>
            <a:t>Scenario Controls</a:t>
          </a:r>
        </a:p>
      </xdr:txBody>
    </xdr:sp>
    <xdr:clientData/>
  </xdr:twoCellAnchor>
  <xdr:twoCellAnchor>
    <xdr:from>
      <xdr:col>1</xdr:col>
      <xdr:colOff>22860</xdr:colOff>
      <xdr:row>12</xdr:row>
      <xdr:rowOff>167640</xdr:rowOff>
    </xdr:from>
    <xdr:to>
      <xdr:col>3</xdr:col>
      <xdr:colOff>579120</xdr:colOff>
      <xdr:row>14</xdr:row>
      <xdr:rowOff>7620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D658645-495E-A4C8-C897-C44BF1964606}"/>
            </a:ext>
          </a:extLst>
        </xdr:cNvPr>
        <xdr:cNvSpPr txBox="1"/>
      </xdr:nvSpPr>
      <xdr:spPr>
        <a:xfrm>
          <a:off x="632460" y="2362200"/>
          <a:ext cx="1775460" cy="20574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accent6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Intrest Rate Change (%) :</a:t>
          </a:r>
        </a:p>
      </xdr:txBody>
    </xdr:sp>
    <xdr:clientData/>
  </xdr:twoCellAnchor>
  <xdr:twoCellAnchor>
    <xdr:from>
      <xdr:col>3</xdr:col>
      <xdr:colOff>236220</xdr:colOff>
      <xdr:row>19</xdr:row>
      <xdr:rowOff>7620</xdr:rowOff>
    </xdr:from>
    <xdr:to>
      <xdr:col>10</xdr:col>
      <xdr:colOff>106680</xdr:colOff>
      <xdr:row>20</xdr:row>
      <xdr:rowOff>167640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7ABA48C-31B4-4FA9-011C-11BE6E2B3C69}"/>
            </a:ext>
          </a:extLst>
        </xdr:cNvPr>
        <xdr:cNvSpPr txBox="1"/>
      </xdr:nvSpPr>
      <xdr:spPr>
        <a:xfrm>
          <a:off x="2065020" y="3482340"/>
          <a:ext cx="4137660" cy="3429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0"/>
            <a:t>Key Matrics</a:t>
          </a:r>
        </a:p>
      </xdr:txBody>
    </xdr:sp>
    <xdr:clientData/>
  </xdr:twoCellAnchor>
  <xdr:twoCellAnchor>
    <xdr:from>
      <xdr:col>1</xdr:col>
      <xdr:colOff>30480</xdr:colOff>
      <xdr:row>21</xdr:row>
      <xdr:rowOff>22860</xdr:rowOff>
    </xdr:from>
    <xdr:to>
      <xdr:col>3</xdr:col>
      <xdr:colOff>579120</xdr:colOff>
      <xdr:row>22</xdr:row>
      <xdr:rowOff>152400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A1C2B5D-4AFE-BCE3-E931-A866895AE3F7}"/>
            </a:ext>
          </a:extLst>
        </xdr:cNvPr>
        <xdr:cNvSpPr txBox="1"/>
      </xdr:nvSpPr>
      <xdr:spPr>
        <a:xfrm>
          <a:off x="640080" y="3863340"/>
          <a:ext cx="1767840" cy="31242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accent6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/>
            <a:t>Average EMI Change</a:t>
          </a:r>
        </a:p>
      </xdr:txBody>
    </xdr:sp>
    <xdr:clientData/>
  </xdr:twoCellAnchor>
  <xdr:twoCellAnchor>
    <xdr:from>
      <xdr:col>4</xdr:col>
      <xdr:colOff>22860</xdr:colOff>
      <xdr:row>21</xdr:row>
      <xdr:rowOff>22860</xdr:rowOff>
    </xdr:from>
    <xdr:to>
      <xdr:col>6</xdr:col>
      <xdr:colOff>594360</xdr:colOff>
      <xdr:row>22</xdr:row>
      <xdr:rowOff>167640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8E1A0B7-4F38-6A3F-7350-9C57760C79B0}"/>
            </a:ext>
          </a:extLst>
        </xdr:cNvPr>
        <xdr:cNvSpPr txBox="1"/>
      </xdr:nvSpPr>
      <xdr:spPr>
        <a:xfrm>
          <a:off x="2461260" y="3863340"/>
          <a:ext cx="1790700" cy="32766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accent6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/>
            <a:t>Total Intrest Impact</a:t>
          </a:r>
        </a:p>
      </xdr:txBody>
    </xdr:sp>
    <xdr:clientData/>
  </xdr:twoCellAnchor>
  <xdr:twoCellAnchor>
    <xdr:from>
      <xdr:col>7</xdr:col>
      <xdr:colOff>15240</xdr:colOff>
      <xdr:row>21</xdr:row>
      <xdr:rowOff>22860</xdr:rowOff>
    </xdr:from>
    <xdr:to>
      <xdr:col>9</xdr:col>
      <xdr:colOff>594360</xdr:colOff>
      <xdr:row>22</xdr:row>
      <xdr:rowOff>167640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891433C-5634-077A-043E-1DA05FA7DB1B}"/>
            </a:ext>
          </a:extLst>
        </xdr:cNvPr>
        <xdr:cNvSpPr txBox="1"/>
      </xdr:nvSpPr>
      <xdr:spPr>
        <a:xfrm>
          <a:off x="4282440" y="3863340"/>
          <a:ext cx="1798320" cy="32766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accent6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/>
            <a:t>%</a:t>
          </a:r>
          <a:r>
            <a:rPr lang="en-US" sz="1400" baseline="0"/>
            <a:t> Intrest Borrowers</a:t>
          </a:r>
          <a:endParaRPr lang="en-US" sz="1400"/>
        </a:p>
      </xdr:txBody>
    </xdr:sp>
    <xdr:clientData/>
  </xdr:twoCellAnchor>
  <xdr:twoCellAnchor>
    <xdr:from>
      <xdr:col>10</xdr:col>
      <xdr:colOff>22860</xdr:colOff>
      <xdr:row>21</xdr:row>
      <xdr:rowOff>15240</xdr:rowOff>
    </xdr:from>
    <xdr:to>
      <xdr:col>12</xdr:col>
      <xdr:colOff>586740</xdr:colOff>
      <xdr:row>22</xdr:row>
      <xdr:rowOff>175260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77FAD4D-D9B0-5EE5-D79A-C96854197D6B}"/>
            </a:ext>
          </a:extLst>
        </xdr:cNvPr>
        <xdr:cNvSpPr txBox="1"/>
      </xdr:nvSpPr>
      <xdr:spPr>
        <a:xfrm>
          <a:off x="6118860" y="3855720"/>
          <a:ext cx="1783080" cy="3429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accent6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/>
            <a:t>Moste Sensitive Loan</a:t>
          </a:r>
        </a:p>
      </xdr:txBody>
    </xdr:sp>
    <xdr:clientData/>
  </xdr:twoCellAnchor>
  <xdr:twoCellAnchor>
    <xdr:from>
      <xdr:col>5</xdr:col>
      <xdr:colOff>72813</xdr:colOff>
      <xdr:row>6</xdr:row>
      <xdr:rowOff>113453</xdr:rowOff>
    </xdr:from>
    <xdr:to>
      <xdr:col>12</xdr:col>
      <xdr:colOff>601133</xdr:colOff>
      <xdr:row>17</xdr:row>
      <xdr:rowOff>98213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CF29D6C-8B95-4EEF-8D6D-E4E68118B7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214207</xdr:colOff>
      <xdr:row>6</xdr:row>
      <xdr:rowOff>112607</xdr:rowOff>
    </xdr:from>
    <xdr:to>
      <xdr:col>21</xdr:col>
      <xdr:colOff>448733</xdr:colOff>
      <xdr:row>17</xdr:row>
      <xdr:rowOff>93134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135B399-643E-4D15-8AE5-753334ED7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211666</xdr:colOff>
      <xdr:row>18</xdr:row>
      <xdr:rowOff>177800</xdr:rowOff>
    </xdr:from>
    <xdr:to>
      <xdr:col>21</xdr:col>
      <xdr:colOff>440266</xdr:colOff>
      <xdr:row>30</xdr:row>
      <xdr:rowOff>93133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05C86D-526A-4E7E-BBC9-DED1F769C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rabh gupta" refreshedDate="45989.639264467594" createdVersion="8" refreshedVersion="8" minRefreshableVersion="3" recordCount="6" xr:uid="{813D1F61-5F4F-4440-93E1-AC756BADBCD4}">
  <cacheSource type="worksheet">
    <worksheetSource ref="A1:Y7" sheet="Sheet1"/>
  </cacheSource>
  <cacheFields count="25">
    <cacheField name="loan_id" numFmtId="0">
      <sharedItems containsSemiMixedTypes="0" containsString="0" containsNumber="1" containsInteger="1" minValue="1" maxValue="7"/>
    </cacheField>
    <cacheField name="customer_id" numFmtId="0">
      <sharedItems containsSemiMixedTypes="0" containsString="0" containsNumber="1" containsInteger="1" minValue="1" maxValue="5"/>
    </cacheField>
    <cacheField name="full_name" numFmtId="0">
      <sharedItems/>
    </cacheField>
    <cacheField name="gender" numFmtId="0">
      <sharedItems/>
    </cacheField>
    <cacheField name="marital_status" numFmtId="0">
      <sharedItems/>
    </cacheField>
    <cacheField name="employment_status" numFmtId="0">
      <sharedItems/>
    </cacheField>
    <cacheField name="annual_income" numFmtId="0">
      <sharedItems containsSemiMixedTypes="0" containsString="0" containsNumber="1" containsInteger="1" minValue="200000" maxValue="1200000"/>
    </cacheField>
    <cacheField name="city" numFmtId="0">
      <sharedItems/>
    </cacheField>
    <cacheField name="state" numFmtId="0">
      <sharedItems/>
    </cacheField>
    <cacheField name="loan_amount" numFmtId="0">
      <sharedItems containsSemiMixedTypes="0" containsString="0" containsNumber="1" containsInteger="1" minValue="150000" maxValue="2500000"/>
    </cacheField>
    <cacheField name="intrest_rate" numFmtId="0">
      <sharedItems containsSemiMixedTypes="0" containsString="0" containsNumber="1" minValue="9.25" maxValue="18"/>
    </cacheField>
    <cacheField name="loan_terms_month" numFmtId="0">
      <sharedItems containsSemiMixedTypes="0" containsString="0" containsNumber="1" containsInteger="1" minValue="24" maxValue="240"/>
    </cacheField>
    <cacheField name="loan_type" numFmtId="0">
      <sharedItems/>
    </cacheField>
    <cacheField name="colletral_type" numFmtId="0">
      <sharedItems/>
    </cacheField>
    <cacheField name="prob_default" numFmtId="0">
      <sharedItems containsSemiMixedTypes="0" containsString="0" containsNumber="1" minValue="3.9800000000000002E-2" maxValue="0.90849999999999997"/>
    </cacheField>
    <cacheField name="risk_band" numFmtId="0">
      <sharedItems/>
    </cacheField>
    <cacheField name="prediction_date" numFmtId="22">
      <sharedItems containsSemiMixedTypes="0" containsNonDate="0" containsDate="1" containsString="0" minDate="2025-11-25T11:46:11" maxDate="2025-11-25T12:20:29"/>
    </cacheField>
    <cacheField name="Interest Rate Change (%)" numFmtId="9">
      <sharedItems containsSemiMixedTypes="0" containsString="0" containsNumber="1" minValue="-0.01" maxValue="0.01"/>
    </cacheField>
    <cacheField name="Scenario Interest Rate (%)" numFmtId="2">
      <sharedItems containsSemiMixedTypes="0" containsString="0" containsNumber="1" minValue="9.25" maxValue="18"/>
    </cacheField>
    <cacheField name="Base EMI" numFmtId="8">
      <sharedItems containsSemiMixedTypes="0" containsString="0" containsNumber="1" minValue="7287.2587401078099" maxValue="28435.581740209047"/>
    </cacheField>
    <cacheField name="Scenario EMI" numFmtId="8">
      <sharedItems containsSemiMixedTypes="0" containsString="0" containsNumber="1" minValue="7287.2587401078099" maxValue="28435.581740209047"/>
    </cacheField>
    <cacheField name="EMI Difference" numFmtId="8">
      <sharedItems containsSemiMixedTypes="0" containsString="0" containsNumber="1" minValue="-21.202263068842512" maxValue="15.819393434485391"/>
    </cacheField>
    <cacheField name="Change in Total Interest" numFmtId="0">
      <sharedItems containsSemiMixedTypes="0" containsString="0" containsNumber="1" minValue="-763.28147047833772" maxValue="379.6654424276785"/>
    </cacheField>
    <cacheField name="EMI to Income (%)" numFmtId="10">
      <sharedItems containsSemiMixedTypes="0" containsString="0" containsNumber="1" minValue="0.18218146850269526" maxValue="0.44931691772557847"/>
    </cacheField>
    <cacheField name="Stress Flag" numFmtId="2">
      <sharedItems count="2">
        <s v="Normal"/>
        <s v="Cauti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urabh gupta" refreshedDate="46000.608346527777" createdVersion="8" refreshedVersion="8" minRefreshableVersion="3" recordCount="6" xr:uid="{2F88DF57-9686-4D21-ACB1-80B412EA3CE3}">
  <cacheSource type="worksheet">
    <worksheetSource ref="A1:W7" sheet="Sheet1"/>
  </cacheSource>
  <cacheFields count="23">
    <cacheField name="loan_id" numFmtId="0">
      <sharedItems containsSemiMixedTypes="0" containsString="0" containsNumber="1" containsInteger="1" minValue="1" maxValue="7"/>
    </cacheField>
    <cacheField name="customer_id" numFmtId="0">
      <sharedItems containsSemiMixedTypes="0" containsString="0" containsNumber="1" containsInteger="1" minValue="1" maxValue="5"/>
    </cacheField>
    <cacheField name="full_name" numFmtId="0">
      <sharedItems/>
    </cacheField>
    <cacheField name="gender" numFmtId="0">
      <sharedItems/>
    </cacheField>
    <cacheField name="marital_status" numFmtId="0">
      <sharedItems/>
    </cacheField>
    <cacheField name="employment_status" numFmtId="0">
      <sharedItems/>
    </cacheField>
    <cacheField name="annual_income" numFmtId="0">
      <sharedItems containsSemiMixedTypes="0" containsString="0" containsNumber="1" containsInteger="1" minValue="200000" maxValue="1200000"/>
    </cacheField>
    <cacheField name="city" numFmtId="0">
      <sharedItems/>
    </cacheField>
    <cacheField name="state" numFmtId="0">
      <sharedItems/>
    </cacheField>
    <cacheField name="loan_amount" numFmtId="0">
      <sharedItems containsSemiMixedTypes="0" containsString="0" containsNumber="1" containsInteger="1" minValue="150000" maxValue="2500000"/>
    </cacheField>
    <cacheField name="intrest_rate" numFmtId="0">
      <sharedItems containsSemiMixedTypes="0" containsString="0" containsNumber="1" minValue="9.25" maxValue="18"/>
    </cacheField>
    <cacheField name="loan_terms_month" numFmtId="0">
      <sharedItems containsSemiMixedTypes="0" containsString="0" containsNumber="1" containsInteger="1" minValue="24" maxValue="240"/>
    </cacheField>
    <cacheField name="loan_type" numFmtId="0">
      <sharedItems count="3">
        <s v="Personal"/>
        <s v="Home"/>
        <s v="Business"/>
      </sharedItems>
    </cacheField>
    <cacheField name="colletral_type" numFmtId="0">
      <sharedItems/>
    </cacheField>
    <cacheField name="prob_default" numFmtId="0">
      <sharedItems containsSemiMixedTypes="0" containsString="0" containsNumber="1" minValue="3.9800000000000002E-2" maxValue="0.90849999999999997"/>
    </cacheField>
    <cacheField name="risk_band" numFmtId="0">
      <sharedItems count="3">
        <s v="High"/>
        <s v="Very High"/>
        <s v="Low"/>
      </sharedItems>
    </cacheField>
    <cacheField name="prediction_date" numFmtId="22">
      <sharedItems containsSemiMixedTypes="0" containsNonDate="0" containsDate="1" containsString="0" minDate="2025-11-25T11:46:11" maxDate="2025-11-25T12:20:29"/>
    </cacheField>
    <cacheField name="Interest Rate Change (%)" numFmtId="9">
      <sharedItems containsSemiMixedTypes="0" containsString="0" containsNumber="1" minValue="0.02" maxValue="0.02"/>
    </cacheField>
    <cacheField name="Scenario Interest Rate (%)" numFmtId="2">
      <sharedItems containsSemiMixedTypes="0" containsString="0" containsNumber="1" minValue="9.4350000000000005" maxValue="18.36"/>
    </cacheField>
    <cacheField name="Base EMI" numFmtId="8">
      <sharedItems containsSemiMixedTypes="0" containsString="0" containsNumber="1" minValue="7287.2587401078099" maxValue="28435.581740209047"/>
    </cacheField>
    <cacheField name="Scenario EMI" numFmtId="8">
      <sharedItems containsSemiMixedTypes="0" containsString="0" containsNumber="1" minValue="7308.9672526642953" maxValue="28537.613181372217"/>
    </cacheField>
    <cacheField name="EMI Difference" numFmtId="8">
      <sharedItems containsSemiMixedTypes="0" containsString="0" containsNumber="1" minValue="21.708512556485402" maxValue="300.59660740162508"/>
    </cacheField>
    <cacheField name="Change in Total Interest" numFmtId="0">
      <sharedItems containsSemiMixedTypes="0" containsString="0" containsNumber="1" minValue="521.00430135562783" maxValue="72143.185776390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"/>
    <n v="1"/>
    <s v="Rohan Sharma"/>
    <s v="Male"/>
    <s v="Single"/>
    <s v="Employed"/>
    <n v="600000"/>
    <s v="Mumbai"/>
    <s v="Maharashtra"/>
    <n v="300000"/>
    <n v="14.5"/>
    <n v="36"/>
    <s v="Personal"/>
    <s v="None"/>
    <n v="0.32669999999999999"/>
    <s v="High"/>
    <d v="2025-11-25T11:46:11"/>
    <n v="-0.01"/>
    <n v="14.355"/>
    <n v="10326.29323284412"/>
    <n v="10305.090969775278"/>
    <n v="-21.202263068842512"/>
    <n v="-763.28147047833772"/>
    <n v="0.20652586465688241"/>
    <x v="0"/>
  </r>
  <r>
    <n v="4"/>
    <n v="1"/>
    <s v="Rohan Sharma"/>
    <s v="Male"/>
    <s v="Single"/>
    <s v="Employed"/>
    <n v="600000"/>
    <s v="Mumbai"/>
    <s v="Maharashtra"/>
    <n v="200000"/>
    <n v="16.5"/>
    <n v="24"/>
    <s v="Personal"/>
    <s v="None"/>
    <n v="0.72509999999999997"/>
    <s v="Very High"/>
    <d v="2025-11-25T11:46:11"/>
    <n v="0.01"/>
    <n v="16.664999999999999"/>
    <n v="9840.470266775772"/>
    <n v="9856.2896602102574"/>
    <n v="15.819393434485391"/>
    <n v="379.6654424276785"/>
    <n v="0.19680940533551541"/>
    <x v="0"/>
  </r>
  <r>
    <n v="2"/>
    <n v="2"/>
    <s v="Priya Verma"/>
    <s v="Female"/>
    <s v="Married"/>
    <s v="Business"/>
    <n v="1200000"/>
    <s v="Delhi"/>
    <s v="Delhi"/>
    <n v="2500000"/>
    <n v="9.25"/>
    <n v="240"/>
    <s v="Home"/>
    <s v="House"/>
    <n v="3.9800000000000002E-2"/>
    <s v="Low"/>
    <d v="2025-11-25T11:46:11"/>
    <n v="0"/>
    <n v="9.25"/>
    <n v="22896.670846039498"/>
    <n v="22896.670846039498"/>
    <n v="0"/>
    <n v="0"/>
    <n v="0.22896670846039496"/>
    <x v="0"/>
  </r>
  <r>
    <n v="3"/>
    <n v="3"/>
    <s v="Amit Singh"/>
    <s v="Male"/>
    <s v="Single"/>
    <s v="Unemployed"/>
    <n v="200000"/>
    <s v="Lucknow"/>
    <s v="Uttar Pradesh"/>
    <n v="150000"/>
    <n v="18"/>
    <n v="24"/>
    <s v="Personal"/>
    <s v="None"/>
    <n v="0.90849999999999997"/>
    <s v="Very High"/>
    <d v="2025-11-25T11:46:11"/>
    <n v="0"/>
    <n v="18"/>
    <n v="7488.615295426308"/>
    <n v="7488.615295426308"/>
    <n v="0"/>
    <n v="0"/>
    <n v="0.44931691772557847"/>
    <x v="1"/>
  </r>
  <r>
    <n v="6"/>
    <n v="4"/>
    <s v="Rahul Verma"/>
    <s v="Male"/>
    <s v="Single"/>
    <s v="Employed"/>
    <n v="480000"/>
    <s v="Pune"/>
    <s v="Maharashtra"/>
    <n v="150000"/>
    <n v="15.2"/>
    <n v="24"/>
    <s v="Personal"/>
    <s v="None"/>
    <n v="0.74729999999999996"/>
    <s v="Very High"/>
    <d v="2025-11-25T12:18:19"/>
    <n v="0"/>
    <n v="15.2"/>
    <n v="7287.2587401078099"/>
    <n v="7287.2587401078099"/>
    <n v="0"/>
    <n v="0"/>
    <n v="0.18218146850269526"/>
    <x v="0"/>
  </r>
  <r>
    <n v="7"/>
    <n v="5"/>
    <s v="Neha Shah"/>
    <s v="Female"/>
    <s v="Married"/>
    <s v="Business"/>
    <n v="900000"/>
    <s v="Ahmedabad"/>
    <s v="Gujarat"/>
    <n v="850000"/>
    <n v="12.5"/>
    <n v="36"/>
    <s v="Business"/>
    <s v="Property"/>
    <n v="0.45019999999999999"/>
    <s v="High"/>
    <d v="2025-11-25T12:20:29"/>
    <n v="0"/>
    <n v="12.5"/>
    <n v="28435.581740209047"/>
    <n v="28435.581740209047"/>
    <n v="0"/>
    <n v="0"/>
    <n v="0.37914108986945394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"/>
    <n v="1"/>
    <s v="Rohan Sharma"/>
    <s v="Male"/>
    <s v="Single"/>
    <s v="Employed"/>
    <n v="600000"/>
    <s v="Mumbai"/>
    <s v="Maharashtra"/>
    <n v="300000"/>
    <n v="14.5"/>
    <n v="36"/>
    <x v="0"/>
    <s v="None"/>
    <n v="0.32669999999999999"/>
    <x v="0"/>
    <d v="2025-11-25T11:46:11"/>
    <n v="0.02"/>
    <n v="14.790000000000001"/>
    <n v="10326.29323284412"/>
    <n v="10368.773690833214"/>
    <n v="42.480457989093338"/>
    <n v="1529.2964876073529"/>
  </r>
  <r>
    <n v="4"/>
    <n v="1"/>
    <s v="Rohan Sharma"/>
    <s v="Male"/>
    <s v="Single"/>
    <s v="Employed"/>
    <n v="600000"/>
    <s v="Mumbai"/>
    <s v="Maharashtra"/>
    <n v="200000"/>
    <n v="16.5"/>
    <n v="24"/>
    <x v="0"/>
    <s v="None"/>
    <n v="0.72509999999999997"/>
    <x v="1"/>
    <d v="2025-11-25T11:46:11"/>
    <n v="0.02"/>
    <n v="16.830000000000002"/>
    <n v="9840.470266775772"/>
    <n v="9872.1236823091022"/>
    <n v="31.65341553333019"/>
    <n v="759.6819727999391"/>
  </r>
  <r>
    <n v="2"/>
    <n v="2"/>
    <s v="Priya Verma"/>
    <s v="Female"/>
    <s v="Married"/>
    <s v="Business"/>
    <n v="1200000"/>
    <s v="Delhi"/>
    <s v="Delhi"/>
    <n v="2500000"/>
    <n v="9.25"/>
    <n v="240"/>
    <x v="1"/>
    <s v="House"/>
    <n v="3.9800000000000002E-2"/>
    <x v="2"/>
    <d v="2025-11-25T11:46:11"/>
    <n v="0.02"/>
    <n v="9.4350000000000005"/>
    <n v="22896.670846039498"/>
    <n v="23197.267453441124"/>
    <n v="300.59660740162508"/>
    <n v="72143.185776390135"/>
  </r>
  <r>
    <n v="3"/>
    <n v="3"/>
    <s v="Amit Singh"/>
    <s v="Male"/>
    <s v="Single"/>
    <s v="Unemployed"/>
    <n v="200000"/>
    <s v="Lucknow"/>
    <s v="Uttar Pradesh"/>
    <n v="150000"/>
    <n v="18"/>
    <n v="24"/>
    <x v="0"/>
    <s v="None"/>
    <n v="0.90849999999999997"/>
    <x v="1"/>
    <d v="2025-11-25T11:46:11"/>
    <n v="0.02"/>
    <n v="18.36"/>
    <n v="7488.615295426308"/>
    <n v="7514.7329088958813"/>
    <n v="26.117613469573371"/>
    <n v="626.82272326978273"/>
  </r>
  <r>
    <n v="6"/>
    <n v="4"/>
    <s v="Rahul Verma"/>
    <s v="Male"/>
    <s v="Single"/>
    <s v="Employed"/>
    <n v="480000"/>
    <s v="Pune"/>
    <s v="Maharashtra"/>
    <n v="150000"/>
    <n v="15.2"/>
    <n v="24"/>
    <x v="0"/>
    <s v="None"/>
    <n v="0.74729999999999996"/>
    <x v="1"/>
    <d v="2025-11-25T12:18:19"/>
    <n v="0.02"/>
    <n v="15.504"/>
    <n v="7287.2587401078099"/>
    <n v="7308.9672526642953"/>
    <n v="21.708512556485402"/>
    <n v="521.00430135562783"/>
  </r>
  <r>
    <n v="7"/>
    <n v="5"/>
    <s v="Neha Shah"/>
    <s v="Female"/>
    <s v="Married"/>
    <s v="Business"/>
    <n v="900000"/>
    <s v="Ahmedabad"/>
    <s v="Gujarat"/>
    <n v="850000"/>
    <n v="12.5"/>
    <n v="36"/>
    <x v="2"/>
    <s v="Property"/>
    <n v="0.45019999999999999"/>
    <x v="0"/>
    <d v="2025-11-25T12:20:29"/>
    <n v="0.02"/>
    <n v="12.75"/>
    <n v="28435.581740209047"/>
    <n v="28537.613181372217"/>
    <n v="102.0314411631698"/>
    <n v="3673.13188187417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CEF2C0-7BAE-42F6-B43A-F41A153C83E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Risk Parameter">
  <location ref="A3:B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numFmtId="22" showAll="0"/>
    <pivotField numFmtId="9" showAll="0"/>
    <pivotField numFmtId="2" showAll="0"/>
    <pivotField numFmtId="8" showAll="0"/>
    <pivotField numFmtId="8" showAll="0"/>
    <pivotField dataField="1" numFmtId="8"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isk EMI Impact" fld="21" subtotal="average" baseField="15" baseItem="0" numFmtId="8"/>
  </dataFields>
  <chartFormats count="3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093FB2-5315-447C-882C-303E8EC8326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Stress Flag">
  <location ref="G3:H6" firstHeaderRow="1" firstDataRow="1" firstDataCol="1"/>
  <pivotFields count="2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2" showAll="0"/>
    <pivotField numFmtId="9" showAll="0"/>
    <pivotField numFmtId="2" showAll="0"/>
    <pivotField numFmtId="8" showAll="0"/>
    <pivotField numFmtId="8" showAll="0"/>
    <pivotField numFmtId="8" showAll="0"/>
    <pivotField showAll="0"/>
    <pivotField numFmtId="10" showAll="0"/>
    <pivotField axis="axisRow" showAll="0">
      <items count="3">
        <item x="1"/>
        <item x="0"/>
        <item t="default"/>
      </items>
    </pivotField>
  </pivotFields>
  <rowFields count="1">
    <field x="24"/>
  </rowFields>
  <rowItems count="3">
    <i>
      <x/>
    </i>
    <i>
      <x v="1"/>
    </i>
    <i t="grand">
      <x/>
    </i>
  </rowItems>
  <colItems count="1">
    <i/>
  </colItems>
  <dataFields count="1">
    <dataField name="Count" fld="0" subtotal="count" baseField="24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FE82B-A2D2-430B-BB0B-47E53030546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Loan Type">
  <location ref="D3:E7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numFmtId="22" showAll="0"/>
    <pivotField numFmtId="9" showAll="0"/>
    <pivotField numFmtId="2" showAll="0"/>
    <pivotField numFmtId="8" showAll="0"/>
    <pivotField numFmtId="8" showAll="0"/>
    <pivotField numFmtId="8" showAll="0"/>
    <pivotField dataField="1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ange in Total Interest" fld="22" baseField="12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AC0CA1-A6B8-48B1-9003-1FECE99D5D4E}" autoFormatId="16" applyNumberFormats="0" applyBorderFormats="0" applyFontFormats="0" applyPatternFormats="0" applyAlignmentFormats="0" applyWidthHeightFormats="0">
  <queryTableRefresh nextId="18">
    <queryTableFields count="17">
      <queryTableField id="1" name="loan_id" tableColumnId="1"/>
      <queryTableField id="2" name="customer_id" tableColumnId="2"/>
      <queryTableField id="3" name="full_name" tableColumnId="3"/>
      <queryTableField id="4" name="gender" tableColumnId="4"/>
      <queryTableField id="5" name="marital_status" tableColumnId="5"/>
      <queryTableField id="6" name="employment_status" tableColumnId="6"/>
      <queryTableField id="7" name="annual_income" tableColumnId="7"/>
      <queryTableField id="8" name="city" tableColumnId="8"/>
      <queryTableField id="9" name="state" tableColumnId="9"/>
      <queryTableField id="10" name="loan_amount" tableColumnId="10"/>
      <queryTableField id="11" name="intrest_rate" tableColumnId="11"/>
      <queryTableField id="12" name="loan_terms_month" tableColumnId="12"/>
      <queryTableField id="13" name="loan_type" tableColumnId="13"/>
      <queryTableField id="14" name="colletral_type" tableColumnId="14"/>
      <queryTableField id="15" name="prob_default" tableColumnId="15"/>
      <queryTableField id="16" name="risk_band" tableColumnId="16"/>
      <queryTableField id="17" name="prediction_dat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32C458-A0D3-4EC2-AFF5-D22D47616003}" name="excel_credit_risk" displayName="excel_credit_risk" ref="A1:Q7" tableType="queryTable" totalsRowShown="0" headerRowDxfId="30" dataDxfId="29">
  <autoFilter ref="A1:Q7" xr:uid="{4B32C458-A0D3-4EC2-AFF5-D22D47616003}"/>
  <tableColumns count="17">
    <tableColumn id="1" xr3:uid="{87B9E65C-D88D-468D-AE36-8137C563DDD5}" uniqueName="1" name="loan_id" queryTableFieldId="1" dataDxfId="28"/>
    <tableColumn id="2" xr3:uid="{AD90B280-8C49-4BB4-A6EA-D4BA5E6D72BB}" uniqueName="2" name="customer_id" queryTableFieldId="2" dataDxfId="27"/>
    <tableColumn id="3" xr3:uid="{0CF27E48-AECD-4DF9-87EE-65C0FAE1F237}" uniqueName="3" name="full_name" queryTableFieldId="3" dataDxfId="26"/>
    <tableColumn id="4" xr3:uid="{3514C6AE-46C0-4078-A6FA-382E081699A2}" uniqueName="4" name="gender" queryTableFieldId="4" dataDxfId="25"/>
    <tableColumn id="5" xr3:uid="{556C4E82-666D-425A-A588-839C89354333}" uniqueName="5" name="marital_status" queryTableFieldId="5" dataDxfId="24"/>
    <tableColumn id="6" xr3:uid="{E825C6F9-AB5B-495A-8C4E-8BC10A99A967}" uniqueName="6" name="employment_status" queryTableFieldId="6" dataDxfId="23"/>
    <tableColumn id="7" xr3:uid="{14BF7476-23E1-40B5-B218-0A144FF7250D}" uniqueName="7" name="annual_income" queryTableFieldId="7" dataDxfId="22"/>
    <tableColumn id="8" xr3:uid="{6E0C70C6-A256-4410-8869-8ADD3A8745E9}" uniqueName="8" name="city" queryTableFieldId="8" dataDxfId="21"/>
    <tableColumn id="9" xr3:uid="{8CE3B427-421A-49A3-A295-457DCB6F4219}" uniqueName="9" name="state" queryTableFieldId="9" dataDxfId="20"/>
    <tableColumn id="10" xr3:uid="{AE71B4FC-C716-44C7-BDFE-58A7DD32F9B8}" uniqueName="10" name="loan_amount" queryTableFieldId="10" dataDxfId="19"/>
    <tableColumn id="11" xr3:uid="{228A1E03-0E22-4573-9C17-64AFD8CB408E}" uniqueName="11" name="intrest_rate" queryTableFieldId="11" dataDxfId="18"/>
    <tableColumn id="12" xr3:uid="{FCCDB8C1-F4CD-4E76-B0DC-D56D238BF6E5}" uniqueName="12" name="loan_terms_month" queryTableFieldId="12" dataDxfId="17"/>
    <tableColumn id="13" xr3:uid="{1DB0FE86-B46C-4A04-857C-2E5899A88FEE}" uniqueName="13" name="loan_type" queryTableFieldId="13" dataDxfId="16"/>
    <tableColumn id="14" xr3:uid="{1FA5B328-6DBC-4574-8692-6ABDD304B2AB}" uniqueName="14" name="colletral_type" queryTableFieldId="14" dataDxfId="15"/>
    <tableColumn id="15" xr3:uid="{2943727A-796A-40E8-8681-35A3ACA51FF3}" uniqueName="15" name="prob_default" queryTableFieldId="15" dataDxfId="14"/>
    <tableColumn id="16" xr3:uid="{E962695D-B3BC-48FD-9A5A-F299A02B368D}" uniqueName="16" name="risk_band" queryTableFieldId="16" dataDxfId="13"/>
    <tableColumn id="17" xr3:uid="{2D583417-7952-4C1D-95B0-1136EB8B6DA3}" uniqueName="17" name="prediction_date" queryTableFieldId="17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A1EC1D-B37F-4140-BCF3-D1067F115AEB}" name="Table2" displayName="Table2" ref="R1:Y7" totalsRowShown="0" headerRowDxfId="11" dataDxfId="9" headerRowBorderDxfId="10" tableBorderDxfId="8">
  <autoFilter ref="R1:Y7" xr:uid="{4EA1EC1D-B37F-4140-BCF3-D1067F115AEB}"/>
  <tableColumns count="8">
    <tableColumn id="1" xr3:uid="{74577A05-1840-4D0D-B5E2-FC0554B92ED5}" name="Interest Rate Change (%)" dataDxfId="7">
      <calculatedColumnFormula>Dashboard!$E$14</calculatedColumnFormula>
    </tableColumn>
    <tableColumn id="2" xr3:uid="{A6FD8288-4A0A-4BF3-A737-A4D386E10AFE}" name="Scenario Interest Rate (%)" dataDxfId="6" dataCellStyle="Percent">
      <calculatedColumnFormula xml:space="preserve"> K2 * (1 + $R2)</calculatedColumnFormula>
    </tableColumn>
    <tableColumn id="3" xr3:uid="{00147D2C-9D11-4A28-9D98-11489BE518E7}" name="Base EMI" dataDxfId="5">
      <calculatedColumnFormula xml:space="preserve"> PMT(K2/12/100, L2, -J2)</calculatedColumnFormula>
    </tableColumn>
    <tableColumn id="4" xr3:uid="{3DE67113-7D23-4C11-8E05-7A09E5102925}" name="Scenario EMI" dataDxfId="4">
      <calculatedColumnFormula xml:space="preserve"> PMT(S2/12/100, L2, -J2)</calculatedColumnFormula>
    </tableColumn>
    <tableColumn id="5" xr3:uid="{03406E5A-19C4-451B-A1B2-CFAF69D94BC9}" name="EMI Difference" dataDxfId="3">
      <calculatedColumnFormula xml:space="preserve"> U2 - T2</calculatedColumnFormula>
    </tableColumn>
    <tableColumn id="6" xr3:uid="{A1A39D8C-4B64-48E5-9423-5DBFD29F2F73}" name="Change in Total Interest" dataDxfId="2">
      <calculatedColumnFormula xml:space="preserve"> (U2 * L2 - J2) - (T2 * L2 - J2)</calculatedColumnFormula>
    </tableColumn>
    <tableColumn id="8" xr3:uid="{03934C72-073F-4DB5-8622-46D8E22299AD}" name="EMI to Income (%)" dataDxfId="1">
      <calculatedColumnFormula>IFERROR((T2*12)/G2, 0)</calculatedColumnFormula>
    </tableColumn>
    <tableColumn id="9" xr3:uid="{EDCA7CEF-7DD6-4235-9147-CE5F8FA97331}" name="Stress Flag" dataDxfId="0">
      <calculatedColumnFormula>IF(X2&gt;0.45,"Stressed",IF(X2&gt;0.35,"Caution","Normal"))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7"/>
  <sheetViews>
    <sheetView zoomScale="92" workbookViewId="0">
      <selection activeCell="E11" sqref="E11"/>
    </sheetView>
  </sheetViews>
  <sheetFormatPr defaultRowHeight="14.4" x14ac:dyDescent="0.3"/>
  <cols>
    <col min="1" max="1" width="12.109375" style="4" bestFit="1" customWidth="1"/>
    <col min="2" max="2" width="16.5546875" style="4" bestFit="1" customWidth="1"/>
    <col min="3" max="3" width="14.33203125" style="4" bestFit="1" customWidth="1"/>
    <col min="4" max="4" width="12" style="4" bestFit="1" customWidth="1"/>
    <col min="5" max="5" width="18.109375" style="4" bestFit="1" customWidth="1"/>
    <col min="6" max="6" width="23.21875" style="4" bestFit="1" customWidth="1"/>
    <col min="7" max="7" width="18.77734375" style="4" bestFit="1" customWidth="1"/>
    <col min="8" max="8" width="8.88671875" style="4" bestFit="1" customWidth="1"/>
    <col min="9" max="9" width="10.21875" style="4" bestFit="1" customWidth="1"/>
    <col min="10" max="10" width="17.109375" style="4" bestFit="1" customWidth="1"/>
    <col min="11" max="11" width="16" style="4" bestFit="1" customWidth="1"/>
    <col min="12" max="12" width="22.33203125" style="4" bestFit="1" customWidth="1"/>
    <col min="13" max="13" width="14.33203125" style="4" bestFit="1" customWidth="1"/>
    <col min="14" max="14" width="17.6640625" style="4" bestFit="1" customWidth="1"/>
    <col min="15" max="15" width="16.88671875" style="4" bestFit="1" customWidth="1"/>
    <col min="16" max="16" width="14.109375" style="4" bestFit="1" customWidth="1"/>
    <col min="17" max="17" width="19.5546875" style="4" bestFit="1" customWidth="1"/>
    <col min="18" max="18" width="27.44140625" style="9" bestFit="1" customWidth="1"/>
    <col min="19" max="19" width="28.44140625" style="6" bestFit="1" customWidth="1"/>
    <col min="20" max="20" width="13.88671875" style="4" bestFit="1" customWidth="1"/>
    <col min="21" max="21" width="17" style="4" bestFit="1" customWidth="1"/>
    <col min="22" max="22" width="18.6640625" style="4" bestFit="1" customWidth="1"/>
    <col min="23" max="23" width="26.5546875" style="4" bestFit="1" customWidth="1"/>
    <col min="24" max="24" width="21.77734375" bestFit="1" customWidth="1"/>
    <col min="25" max="25" width="15" bestFit="1" customWidth="1"/>
  </cols>
  <sheetData>
    <row r="1" spans="1:2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 t="s">
        <v>48</v>
      </c>
      <c r="S1" s="3" t="s">
        <v>49</v>
      </c>
      <c r="T1" s="3" t="s">
        <v>45</v>
      </c>
      <c r="U1" s="3" t="s">
        <v>46</v>
      </c>
      <c r="V1" s="3" t="s">
        <v>47</v>
      </c>
      <c r="W1" s="3" t="s">
        <v>50</v>
      </c>
      <c r="X1" s="3" t="s">
        <v>56</v>
      </c>
      <c r="Y1" s="3" t="s">
        <v>57</v>
      </c>
    </row>
    <row r="2" spans="1:25" x14ac:dyDescent="0.3">
      <c r="A2" s="4">
        <v>1</v>
      </c>
      <c r="B2" s="42">
        <v>1</v>
      </c>
      <c r="C2" s="4" t="s">
        <v>17</v>
      </c>
      <c r="D2" s="4" t="s">
        <v>18</v>
      </c>
      <c r="E2" s="4" t="s">
        <v>19</v>
      </c>
      <c r="F2" s="4" t="s">
        <v>20</v>
      </c>
      <c r="G2" s="4">
        <v>600000</v>
      </c>
      <c r="H2" s="4" t="s">
        <v>21</v>
      </c>
      <c r="I2" s="4" t="s">
        <v>22</v>
      </c>
      <c r="J2" s="4">
        <v>300000</v>
      </c>
      <c r="K2" s="4">
        <v>14.5</v>
      </c>
      <c r="L2" s="4">
        <v>36</v>
      </c>
      <c r="M2" s="4" t="s">
        <v>23</v>
      </c>
      <c r="N2" s="4" t="s">
        <v>24</v>
      </c>
      <c r="O2" s="4">
        <v>0.32669999999999999</v>
      </c>
      <c r="P2" s="4" t="s">
        <v>25</v>
      </c>
      <c r="Q2" s="5">
        <v>45986.490405092591</v>
      </c>
      <c r="R2" s="6">
        <f>Dashboard!$E$14</f>
        <v>0.02</v>
      </c>
      <c r="S2" s="7">
        <f xml:space="preserve"> K2 * (1 + $R2)</f>
        <v>14.790000000000001</v>
      </c>
      <c r="T2" s="8">
        <f xml:space="preserve"> PMT(K2/12/100, L2, -J2)</f>
        <v>10326.29323284412</v>
      </c>
      <c r="U2" s="8">
        <f xml:space="preserve"> PMT(S2/12/100, L2, -J2)</f>
        <v>10368.773690833214</v>
      </c>
      <c r="V2" s="8">
        <f xml:space="preserve"> U2 - T2</f>
        <v>42.480457989093338</v>
      </c>
      <c r="W2" s="4">
        <f xml:space="preserve"> (U2 * L2 - J2) - (T2 * L2 - J2)</f>
        <v>1529.2964876073529</v>
      </c>
      <c r="X2" s="13">
        <f t="shared" ref="X2:X7" si="0">IFERROR((T2*12)/G2, 0)</f>
        <v>0.20652586465688241</v>
      </c>
      <c r="Y2" s="9" t="str">
        <f t="shared" ref="Y2:Y7" si="1">IF(X2&gt;0.45,"Stressed",IF(X2&gt;0.35,"Caution","Normal"))</f>
        <v>Normal</v>
      </c>
    </row>
    <row r="3" spans="1:25" x14ac:dyDescent="0.3">
      <c r="A3" s="4">
        <v>4</v>
      </c>
      <c r="B3" s="4">
        <v>1</v>
      </c>
      <c r="C3" s="4" t="s">
        <v>17</v>
      </c>
      <c r="D3" s="4" t="s">
        <v>18</v>
      </c>
      <c r="E3" s="4" t="s">
        <v>19</v>
      </c>
      <c r="F3" s="4" t="s">
        <v>20</v>
      </c>
      <c r="G3" s="4">
        <v>600000</v>
      </c>
      <c r="H3" s="4" t="s">
        <v>21</v>
      </c>
      <c r="I3" s="4" t="s">
        <v>22</v>
      </c>
      <c r="J3" s="4">
        <v>200000</v>
      </c>
      <c r="K3" s="4">
        <v>16.5</v>
      </c>
      <c r="L3" s="4">
        <v>24</v>
      </c>
      <c r="M3" s="4" t="s">
        <v>23</v>
      </c>
      <c r="N3" s="4" t="s">
        <v>24</v>
      </c>
      <c r="O3" s="4">
        <v>0.72509999999999997</v>
      </c>
      <c r="P3" s="4" t="s">
        <v>26</v>
      </c>
      <c r="Q3" s="5">
        <v>45986.490405092591</v>
      </c>
      <c r="R3" s="6">
        <f>Dashboard!$E$14</f>
        <v>0.02</v>
      </c>
      <c r="S3" s="7">
        <f t="shared" ref="S3:S7" si="2" xml:space="preserve"> K3 * (1 + $R3)</f>
        <v>16.830000000000002</v>
      </c>
      <c r="T3" s="8">
        <f t="shared" ref="T3:T7" si="3" xml:space="preserve"> PMT(K3/12/100, L3, -J3)</f>
        <v>9840.470266775772</v>
      </c>
      <c r="U3" s="8">
        <f t="shared" ref="U3:U7" si="4" xml:space="preserve"> PMT(S3/12/100, L3, -J3)</f>
        <v>9872.1236823091022</v>
      </c>
      <c r="V3" s="8">
        <f t="shared" ref="V3:V7" si="5" xml:space="preserve"> U3 - T3</f>
        <v>31.65341553333019</v>
      </c>
      <c r="W3" s="4">
        <f t="shared" ref="W3:W7" si="6" xml:space="preserve"> (U3 * L3 - J3) - (T3 * L3 - J3)</f>
        <v>759.6819727999391</v>
      </c>
      <c r="X3" s="13">
        <f t="shared" si="0"/>
        <v>0.19680940533551541</v>
      </c>
      <c r="Y3" s="9" t="str">
        <f t="shared" si="1"/>
        <v>Normal</v>
      </c>
    </row>
    <row r="4" spans="1:25" x14ac:dyDescent="0.3">
      <c r="A4" s="4">
        <v>2</v>
      </c>
      <c r="B4" s="4">
        <v>2</v>
      </c>
      <c r="C4" s="4" t="s">
        <v>27</v>
      </c>
      <c r="D4" s="4" t="s">
        <v>28</v>
      </c>
      <c r="E4" s="4" t="s">
        <v>29</v>
      </c>
      <c r="F4" s="4" t="s">
        <v>30</v>
      </c>
      <c r="G4" s="4">
        <v>1200000</v>
      </c>
      <c r="H4" s="4" t="s">
        <v>31</v>
      </c>
      <c r="I4" s="4" t="s">
        <v>31</v>
      </c>
      <c r="J4" s="4">
        <v>2500000</v>
      </c>
      <c r="K4" s="4">
        <v>9.25</v>
      </c>
      <c r="L4" s="4">
        <v>240</v>
      </c>
      <c r="M4" s="4" t="s">
        <v>32</v>
      </c>
      <c r="N4" s="4" t="s">
        <v>33</v>
      </c>
      <c r="O4" s="4">
        <v>3.9800000000000002E-2</v>
      </c>
      <c r="P4" s="4" t="s">
        <v>34</v>
      </c>
      <c r="Q4" s="5">
        <v>45986.490405092591</v>
      </c>
      <c r="R4" s="6">
        <f>Dashboard!$E$14</f>
        <v>0.02</v>
      </c>
      <c r="S4" s="7">
        <f t="shared" si="2"/>
        <v>9.4350000000000005</v>
      </c>
      <c r="T4" s="8">
        <f t="shared" si="3"/>
        <v>22896.670846039498</v>
      </c>
      <c r="U4" s="8">
        <f t="shared" si="4"/>
        <v>23197.267453441124</v>
      </c>
      <c r="V4" s="8">
        <f t="shared" si="5"/>
        <v>300.59660740162508</v>
      </c>
      <c r="W4" s="4">
        <f t="shared" si="6"/>
        <v>72143.185776390135</v>
      </c>
      <c r="X4" s="13">
        <f t="shared" si="0"/>
        <v>0.22896670846039496</v>
      </c>
      <c r="Y4" s="9" t="str">
        <f t="shared" si="1"/>
        <v>Normal</v>
      </c>
    </row>
    <row r="5" spans="1:25" x14ac:dyDescent="0.3">
      <c r="A5" s="4">
        <v>3</v>
      </c>
      <c r="B5" s="4">
        <v>3</v>
      </c>
      <c r="C5" s="4" t="s">
        <v>35</v>
      </c>
      <c r="D5" s="4" t="s">
        <v>18</v>
      </c>
      <c r="E5" s="4" t="s">
        <v>19</v>
      </c>
      <c r="F5" s="4" t="s">
        <v>36</v>
      </c>
      <c r="G5" s="4">
        <v>200000</v>
      </c>
      <c r="H5" s="4" t="s">
        <v>37</v>
      </c>
      <c r="I5" s="4" t="s">
        <v>38</v>
      </c>
      <c r="J5" s="4">
        <v>150000</v>
      </c>
      <c r="K5" s="4">
        <v>18</v>
      </c>
      <c r="L5" s="4">
        <v>24</v>
      </c>
      <c r="M5" s="4" t="s">
        <v>23</v>
      </c>
      <c r="N5" s="4" t="s">
        <v>24</v>
      </c>
      <c r="O5" s="4">
        <v>0.90849999999999997</v>
      </c>
      <c r="P5" s="4" t="s">
        <v>26</v>
      </c>
      <c r="Q5" s="5">
        <v>45986.490405092591</v>
      </c>
      <c r="R5" s="6">
        <f>Dashboard!$E$14</f>
        <v>0.02</v>
      </c>
      <c r="S5" s="7">
        <f t="shared" si="2"/>
        <v>18.36</v>
      </c>
      <c r="T5" s="8">
        <f t="shared" si="3"/>
        <v>7488.615295426308</v>
      </c>
      <c r="U5" s="8">
        <f t="shared" si="4"/>
        <v>7514.7329088958813</v>
      </c>
      <c r="V5" s="8">
        <f t="shared" si="5"/>
        <v>26.117613469573371</v>
      </c>
      <c r="W5" s="4">
        <f t="shared" si="6"/>
        <v>626.82272326978273</v>
      </c>
      <c r="X5" s="13">
        <f t="shared" si="0"/>
        <v>0.44931691772557847</v>
      </c>
      <c r="Y5" s="9" t="str">
        <f t="shared" si="1"/>
        <v>Caution</v>
      </c>
    </row>
    <row r="6" spans="1:25" x14ac:dyDescent="0.3">
      <c r="A6" s="4">
        <v>6</v>
      </c>
      <c r="B6" s="4">
        <v>4</v>
      </c>
      <c r="C6" s="4" t="s">
        <v>39</v>
      </c>
      <c r="D6" s="4" t="s">
        <v>18</v>
      </c>
      <c r="E6" s="4" t="s">
        <v>19</v>
      </c>
      <c r="F6" s="4" t="s">
        <v>20</v>
      </c>
      <c r="G6" s="4">
        <v>480000</v>
      </c>
      <c r="H6" s="4" t="s">
        <v>40</v>
      </c>
      <c r="I6" s="4" t="s">
        <v>22</v>
      </c>
      <c r="J6" s="4">
        <v>150000</v>
      </c>
      <c r="K6" s="4">
        <v>15.2</v>
      </c>
      <c r="L6" s="4">
        <v>24</v>
      </c>
      <c r="M6" s="4" t="s">
        <v>23</v>
      </c>
      <c r="N6" s="4" t="s">
        <v>24</v>
      </c>
      <c r="O6" s="4">
        <v>0.74729999999999996</v>
      </c>
      <c r="P6" s="4" t="s">
        <v>26</v>
      </c>
      <c r="Q6" s="5">
        <v>45986.512719907405</v>
      </c>
      <c r="R6" s="6">
        <f>Dashboard!$E$14</f>
        <v>0.02</v>
      </c>
      <c r="S6" s="7">
        <f t="shared" si="2"/>
        <v>15.504</v>
      </c>
      <c r="T6" s="8">
        <f t="shared" si="3"/>
        <v>7287.2587401078099</v>
      </c>
      <c r="U6" s="8">
        <f t="shared" si="4"/>
        <v>7308.9672526642953</v>
      </c>
      <c r="V6" s="8">
        <f t="shared" si="5"/>
        <v>21.708512556485402</v>
      </c>
      <c r="W6" s="4">
        <f t="shared" si="6"/>
        <v>521.00430135562783</v>
      </c>
      <c r="X6" s="13">
        <f t="shared" si="0"/>
        <v>0.18218146850269526</v>
      </c>
      <c r="Y6" s="9" t="str">
        <f t="shared" si="1"/>
        <v>Normal</v>
      </c>
    </row>
    <row r="7" spans="1:25" x14ac:dyDescent="0.3">
      <c r="A7" s="4">
        <v>7</v>
      </c>
      <c r="B7" s="4">
        <v>5</v>
      </c>
      <c r="C7" s="4" t="s">
        <v>41</v>
      </c>
      <c r="D7" s="4" t="s">
        <v>28</v>
      </c>
      <c r="E7" s="4" t="s">
        <v>29</v>
      </c>
      <c r="F7" s="4" t="s">
        <v>30</v>
      </c>
      <c r="G7" s="4">
        <v>900000</v>
      </c>
      <c r="H7" s="4" t="s">
        <v>42</v>
      </c>
      <c r="I7" s="4" t="s">
        <v>43</v>
      </c>
      <c r="J7" s="4">
        <v>850000</v>
      </c>
      <c r="K7" s="4">
        <v>12.5</v>
      </c>
      <c r="L7" s="4">
        <v>36</v>
      </c>
      <c r="M7" s="4" t="s">
        <v>30</v>
      </c>
      <c r="N7" s="4" t="s">
        <v>44</v>
      </c>
      <c r="O7" s="4">
        <v>0.45019999999999999</v>
      </c>
      <c r="P7" s="4" t="s">
        <v>25</v>
      </c>
      <c r="Q7" s="5">
        <v>45986.514224537037</v>
      </c>
      <c r="R7" s="6">
        <f>Dashboard!$E$14</f>
        <v>0.02</v>
      </c>
      <c r="S7" s="7">
        <f t="shared" si="2"/>
        <v>12.75</v>
      </c>
      <c r="T7" s="8">
        <f t="shared" si="3"/>
        <v>28435.581740209047</v>
      </c>
      <c r="U7" s="8">
        <f t="shared" si="4"/>
        <v>28537.613181372217</v>
      </c>
      <c r="V7" s="8">
        <f t="shared" si="5"/>
        <v>102.0314411631698</v>
      </c>
      <c r="W7" s="4">
        <f t="shared" si="6"/>
        <v>3673.1318818741711</v>
      </c>
      <c r="X7" s="13">
        <f t="shared" si="0"/>
        <v>0.37914108986945394</v>
      </c>
      <c r="Y7" s="9" t="str">
        <f t="shared" si="1"/>
        <v>Caution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F9F7D-E344-4F47-8B17-235173C7520D}">
  <sheetPr codeName="Sheet2"/>
  <dimension ref="A1:H7"/>
  <sheetViews>
    <sheetView workbookViewId="0">
      <selection activeCell="D4" sqref="D4"/>
    </sheetView>
  </sheetViews>
  <sheetFormatPr defaultRowHeight="14.4" x14ac:dyDescent="0.3"/>
  <cols>
    <col min="1" max="1" width="15.88671875" bestFit="1" customWidth="1"/>
    <col min="2" max="2" width="14.5546875" bestFit="1" customWidth="1"/>
    <col min="4" max="4" width="11.88671875" bestFit="1" customWidth="1"/>
    <col min="5" max="5" width="27.77734375" bestFit="1" customWidth="1"/>
    <col min="7" max="7" width="11.88671875" bestFit="1" customWidth="1"/>
    <col min="8" max="8" width="15.109375" bestFit="1" customWidth="1"/>
  </cols>
  <sheetData>
    <row r="1" spans="1:8" x14ac:dyDescent="0.3">
      <c r="G1" s="14"/>
      <c r="H1" s="14"/>
    </row>
    <row r="2" spans="1:8" x14ac:dyDescent="0.3">
      <c r="A2" s="12"/>
      <c r="B2" s="12"/>
      <c r="D2" s="12"/>
      <c r="E2" s="12"/>
      <c r="G2" s="14"/>
      <c r="H2" s="14"/>
    </row>
    <row r="3" spans="1:8" x14ac:dyDescent="0.3">
      <c r="A3" s="10" t="s">
        <v>53</v>
      </c>
      <c r="B3" t="s">
        <v>52</v>
      </c>
      <c r="D3" s="10" t="s">
        <v>55</v>
      </c>
      <c r="E3" t="s">
        <v>54</v>
      </c>
      <c r="G3" s="10" t="s">
        <v>57</v>
      </c>
      <c r="H3" t="s">
        <v>60</v>
      </c>
    </row>
    <row r="4" spans="1:8" x14ac:dyDescent="0.3">
      <c r="A4" s="11" t="s">
        <v>25</v>
      </c>
      <c r="B4" s="1">
        <v>72.25594957613157</v>
      </c>
      <c r="D4" s="11" t="s">
        <v>30</v>
      </c>
      <c r="E4" s="2">
        <v>3673.1318818741711</v>
      </c>
      <c r="G4" s="11" t="s">
        <v>58</v>
      </c>
      <c r="H4">
        <v>2</v>
      </c>
    </row>
    <row r="5" spans="1:8" x14ac:dyDescent="0.3">
      <c r="A5" s="11" t="s">
        <v>34</v>
      </c>
      <c r="B5" s="1">
        <v>300.59660740162508</v>
      </c>
      <c r="D5" s="11" t="s">
        <v>32</v>
      </c>
      <c r="E5" s="2">
        <v>72143.185776390135</v>
      </c>
      <c r="G5" s="11" t="s">
        <v>59</v>
      </c>
      <c r="H5">
        <v>4</v>
      </c>
    </row>
    <row r="6" spans="1:8" x14ac:dyDescent="0.3">
      <c r="A6" s="11" t="s">
        <v>26</v>
      </c>
      <c r="B6" s="1">
        <v>26.493180519796322</v>
      </c>
      <c r="D6" s="11" t="s">
        <v>23</v>
      </c>
      <c r="E6" s="2">
        <v>3436.8054850327026</v>
      </c>
      <c r="G6" s="11" t="s">
        <v>51</v>
      </c>
      <c r="H6">
        <v>6</v>
      </c>
    </row>
    <row r="7" spans="1:8" x14ac:dyDescent="0.3">
      <c r="A7" s="11" t="s">
        <v>51</v>
      </c>
      <c r="B7" s="1">
        <v>87.431341352212868</v>
      </c>
      <c r="D7" s="11" t="s">
        <v>51</v>
      </c>
      <c r="E7" s="2">
        <v>79253.123143297009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18094-CAA6-4F4D-A4A4-2C265378B8E7}">
  <sheetPr codeName="Sheet3"/>
  <dimension ref="B10:M26"/>
  <sheetViews>
    <sheetView tabSelected="1" zoomScale="90" zoomScaleNormal="90" workbookViewId="0">
      <selection activeCell="W17" sqref="W17"/>
    </sheetView>
  </sheetViews>
  <sheetFormatPr defaultRowHeight="14.4" x14ac:dyDescent="0.3"/>
  <cols>
    <col min="1" max="2" width="8.88671875" style="22"/>
    <col min="3" max="3" width="12.109375" style="22" bestFit="1" customWidth="1"/>
    <col min="4" max="5" width="8.88671875" style="22"/>
    <col min="6" max="6" width="17.21875" style="22" bestFit="1" customWidth="1"/>
    <col min="7" max="16384" width="8.88671875" style="22"/>
  </cols>
  <sheetData>
    <row r="10" spans="2:5" x14ac:dyDescent="0.3">
      <c r="B10" s="23"/>
      <c r="C10" s="24"/>
      <c r="D10" s="24"/>
      <c r="E10" s="25"/>
    </row>
    <row r="11" spans="2:5" x14ac:dyDescent="0.3">
      <c r="B11" s="26"/>
      <c r="C11" s="27"/>
      <c r="D11" s="27"/>
      <c r="E11" s="28"/>
    </row>
    <row r="12" spans="2:5" x14ac:dyDescent="0.3">
      <c r="B12" s="29"/>
      <c r="C12" s="30"/>
      <c r="D12" s="30"/>
      <c r="E12" s="31"/>
    </row>
    <row r="13" spans="2:5" x14ac:dyDescent="0.3">
      <c r="B13" s="20"/>
      <c r="C13" s="14"/>
      <c r="D13" s="14"/>
      <c r="E13" s="21"/>
    </row>
    <row r="14" spans="2:5" x14ac:dyDescent="0.3">
      <c r="B14" s="20"/>
      <c r="C14" s="14"/>
      <c r="D14" s="14"/>
      <c r="E14" s="32">
        <v>0.02</v>
      </c>
    </row>
    <row r="15" spans="2:5" x14ac:dyDescent="0.3">
      <c r="B15" s="18"/>
      <c r="C15" s="15"/>
      <c r="D15" s="15"/>
      <c r="E15" s="19"/>
    </row>
    <row r="20" spans="2:13" x14ac:dyDescent="0.3"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5"/>
    </row>
    <row r="21" spans="2:13" x14ac:dyDescent="0.3">
      <c r="B21" s="29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1"/>
    </row>
    <row r="22" spans="2:13" x14ac:dyDescent="0.3">
      <c r="B22" s="16"/>
      <c r="C22" s="38"/>
      <c r="D22" s="17"/>
      <c r="E22" s="16"/>
      <c r="F22" s="38"/>
      <c r="G22" s="17"/>
      <c r="H22" s="16"/>
      <c r="I22" s="38"/>
      <c r="J22" s="17"/>
      <c r="K22" s="38"/>
      <c r="L22" s="38"/>
      <c r="M22" s="17"/>
    </row>
    <row r="23" spans="2:13" x14ac:dyDescent="0.3">
      <c r="B23" s="18"/>
      <c r="C23" s="15"/>
      <c r="D23" s="19"/>
      <c r="E23" s="18"/>
      <c r="F23" s="15"/>
      <c r="G23" s="19"/>
      <c r="H23" s="18"/>
      <c r="I23" s="15"/>
      <c r="J23" s="19"/>
      <c r="K23" s="15"/>
      <c r="L23" s="15"/>
      <c r="M23" s="19"/>
    </row>
    <row r="24" spans="2:13" x14ac:dyDescent="0.3">
      <c r="B24" s="33"/>
      <c r="D24" s="34"/>
      <c r="E24" s="33"/>
      <c r="G24" s="34"/>
      <c r="H24" s="33"/>
      <c r="J24" s="34"/>
      <c r="M24" s="34"/>
    </row>
    <row r="25" spans="2:13" ht="23.4" x14ac:dyDescent="0.3">
      <c r="B25" s="33"/>
      <c r="C25" s="41">
        <f>AVERAGE(Sheet1!V:V)</f>
        <v>87.431341352212868</v>
      </c>
      <c r="D25" s="34"/>
      <c r="E25" s="33"/>
      <c r="F25" s="41">
        <f>SUM(Sheet1!W:W)</f>
        <v>79253.123143297009</v>
      </c>
      <c r="G25" s="34"/>
      <c r="H25" s="33"/>
      <c r="I25" s="40">
        <f>COUNTIF(Sheet1!Y:Y,"Stressed")/COUNTA(Sheet1!A:A)</f>
        <v>0</v>
      </c>
      <c r="J25" s="34"/>
      <c r="L25" s="39" t="str">
        <f>INDEX(PivotTable!D4:D6, MATCH(MAX(PivotTable!E4:E6),PivotTable!E4:E6,0))</f>
        <v>Home</v>
      </c>
      <c r="M25" s="34"/>
    </row>
    <row r="26" spans="2:13" x14ac:dyDescent="0.3">
      <c r="B26" s="35"/>
      <c r="C26" s="36"/>
      <c r="D26" s="37"/>
      <c r="E26" s="35"/>
      <c r="F26" s="36"/>
      <c r="G26" s="37"/>
      <c r="H26" s="35"/>
      <c r="I26" s="36"/>
      <c r="J26" s="37"/>
      <c r="K26" s="36"/>
      <c r="L26" s="36"/>
      <c r="M26" s="37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AFED5D-D6C6-448A-8E52-CF8322B65E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PivotTable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gupta</cp:lastModifiedBy>
  <dcterms:created xsi:type="dcterms:W3CDTF">2025-11-27T09:01:12Z</dcterms:created>
  <dcterms:modified xsi:type="dcterms:W3CDTF">2025-12-09T09:38:00Z</dcterms:modified>
</cp:coreProperties>
</file>